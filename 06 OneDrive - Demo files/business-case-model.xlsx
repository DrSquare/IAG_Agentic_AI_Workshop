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sh fl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<sst xmlns="http://schemas.openxmlformats.org/spreadsheetml/2006/main" count="54" uniqueCount="50">
  <si>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AI-enabled claims transformation: business case model</t>
  </si>
  <si>
    <t xml:space="preserve">Owner: Claims Finance · Version 0.9 (draft) · Synthetic demo data for a fictional insurer</t>
  </si>
  <si>
    <t xml:space="preserve">Assumption</t>
  </si>
  <si>
    <t xml:space="preserve">Value</t>
  </si>
  <si>
    <t xml:space="preserve">Unit</t>
  </si>
  <si>
    <t xml:space="preserve">Source / note</t>
  </si>
  <si>
    <t xml:space="preserve">Addressable claims cost (motor and home)</t>
  </si>
  <si>
    <t xml:space="preserve">A$m</t>
  </si>
  <si>
    <t xml:space="preserve">FY26 actuals</t>
  </si>
  <si>
    <t xml:space="preserve">Current leakage rate</t>
  </si>
  <si>
    <t xml:space="preserve">%</t>
  </si>
  <si>
    <t xml:space="preserve">Management estimate; not validated by Internal Audit or Appointed Actuary</t>
  </si>
  <si>
    <t xml:space="preserve">Leakage reduction from AI</t>
  </si>
  <si>
    <t xml:space="preserve">Industry studies</t>
  </si>
  <si>
    <t xml:space="preserve">Realisation factor</t>
  </si>
  <si>
    <t xml:space="preserve">Management judgement</t>
  </si>
  <si>
    <t xml:space="preserve">Claims handling efficiency at full run rate</t>
  </si>
  <si>
    <t xml:space="preserve">A$m p.a.</t>
  </si>
  <si>
    <t xml:space="preserve">Vendor estimate</t>
  </si>
  <si>
    <t xml:space="preserve">Discount rate</t>
  </si>
  <si>
    <t xml:space="preserve">Group hurdle rate</t>
  </si>
  <si>
    <t xml:space="preserve">Net insurance revenue FY26 (for COR impact)</t>
  </si>
  <si>
    <t xml:space="preserve">Annual Report 2026, p7</t>
  </si>
  <si>
    <t xml:space="preserve">Full run-rate leakage benefit (A$m)</t>
  </si>
  <si>
    <t xml:space="preserve">Full run-rate total benefit (A$m)</t>
  </si>
  <si>
    <t xml:space="preserve">Cash flows (A$m)</t>
  </si>
  <si>
    <t xml:space="preserve">Line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</si>
  <si>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</si>
  <si>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</si>
  <si>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</si>
  <si>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</si>
  <si>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</si>
  <si>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Total</t>
  </si>
  <si>
    <t xml:space="preserve">Platform implementation</t>
  </si>
  <si>
    <t xml:space="preserve">Data migration and integration</t>
  </si>
  <si>
    <t xml:space="preserve">Change management and training</t>
  </si>
  <si>
    <t xml:space="preserve">Contingency</t>
  </si>
  <si>
    <t xml:space="preserve">One-off investment</t>
  </si>
  <si>
    <t xml:space="preserve">Run costs: licence and support</t>
  </si>
  <si>
    <t xml:space="preserve">Benefit ramp (% of full run rate)</t>
  </si>
  <si>
    <t xml:space="preserve">Benefits</t>
  </si>
  <si>
    <t xml:space="preserve">Net cash flow</t>
  </si>
  <si>
    <t xml:space="preserve">Cumulative net cash flow</t>
  </si>
  <si>
    <t xml:space="preserve">Payback helper (years)</t>
  </si>
  <si>
    <t xml:space="preserve">Payback (years from start of FY27)</t>
  </si>
  <si>
    <t xml:space="preserve">Payback (months)</t>
  </si>
  <si>
    <t xml:space="preserve">NPV at discount rate, FY27–FY31 (A$m)</t>
  </si>
  <si>
    <t xml:space="preserve">Total investment incl. contingency (A$m)</t>
  </si>
  <si>
    <t xml:space="preserve">COR improvement at full run rate (pts)</t>
  </si>
  <si>
    <t xml:space="preserve">Blue = inputs · black = formulas · yellow = key assumptions (Assumptions sheet).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</si>
</sst>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0.0%"/>
    <numFmt numFmtId="167" formatCode="#,##0.0;\(#,##0.0\);\-"/>
    <numFmt numFmtId="168" formatCode="0%"/>
    <numFmt numFmtId="169" formatCode="0.00"/>
    <numFmt numFmtId="170" formatCode="0.0"/>
    <numFmt numFmtId="171" formatCode="0"/>
    <numFmt numFmtId="172" formatCode="#,##0.0;\(#,##0.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7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243A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2"/>
      <rgbColor rgb="FF969696"/>
      <rgbColor rgb="FF1024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4500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0.06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6" t="n">
        <v>0.3</v>
      </c>
      <c r="C7" s="4" t="s">
        <v>10</v>
      </c>
      <c r="D7" s="4" t="s">
        <v>13</v>
      </c>
    </row>
    <row r="8" customFormat="false" ht="15" hidden="false" customHeight="false" outlineLevel="0" collapsed="false">
      <c r="A8" s="4" t="s">
        <v>14</v>
      </c>
      <c r="B8" s="6" t="n">
        <v>0.68</v>
      </c>
      <c r="C8" s="4" t="s">
        <v>10</v>
      </c>
      <c r="D8" s="4" t="s">
        <v>15</v>
      </c>
    </row>
    <row r="9" customFormat="false" ht="15" hidden="false" customHeight="false" outlineLevel="0" collapsed="false">
      <c r="A9" s="4" t="s">
        <v>16</v>
      </c>
      <c r="B9" s="5" t="n">
        <v>25</v>
      </c>
      <c r="C9" s="4" t="s">
        <v>17</v>
      </c>
      <c r="D9" s="4" t="s">
        <v>18</v>
      </c>
    </row>
    <row r="10" customFormat="false" ht="15" hidden="false" customHeight="false" outlineLevel="0" collapsed="false">
      <c r="A10" s="4" t="s">
        <v>19</v>
      </c>
      <c r="B10" s="6" t="n">
        <v>0.09</v>
      </c>
      <c r="C10" s="4" t="s">
        <v>10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5" t="n">
        <v>9260</v>
      </c>
      <c r="C11" s="4" t="s">
        <v>7</v>
      </c>
      <c r="D11" s="4" t="s">
        <v>22</v>
      </c>
    </row>
    <row r="13" customFormat="false" ht="15" hidden="false" customHeight="false" outlineLevel="0" collapsed="false">
      <c r="A13" s="7" t="s">
        <v>23</v>
      </c>
      <c r="B13" s="8" t="n">
        <f aca="false">B5*B6*B7*B8</f>
        <v>55.08</v>
      </c>
    </row>
    <row r="14" customFormat="false" ht="15" hidden="false" customHeight="false" outlineLevel="0" collapsed="false">
      <c r="A14" s="7" t="s">
        <v>24</v>
      </c>
      <c r="B14" s="8" t="n">
        <f aca="false">B13+B9</f>
        <v>80.08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1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</row>
    <row r="4" customFormat="false" ht="15" hidden="false" customHeight="false" outlineLevel="0" collapsed="false">
      <c r="A4" s="4" t="s">
        <v>33</v>
      </c>
      <c r="B4" s="9" t="n">
        <v>18</v>
      </c>
      <c r="C4" s="9" t="n">
        <v>12</v>
      </c>
      <c r="D4" s="9" t="n">
        <v>6</v>
      </c>
      <c r="E4" s="9" t="n">
        <v>0</v>
      </c>
      <c r="F4" s="9" t="n">
        <v>0</v>
      </c>
      <c r="G4" s="10" t="n">
        <f aca="false">SUM(B4:F4)</f>
        <v>36</v>
      </c>
    </row>
    <row r="5" customFormat="false" ht="15" hidden="false" customHeight="false" outlineLevel="0" collapsed="false">
      <c r="A5" s="4" t="s">
        <v>34</v>
      </c>
      <c r="B5" s="9" t="n">
        <v>6</v>
      </c>
      <c r="C5" s="9" t="n">
        <v>6.5</v>
      </c>
      <c r="D5" s="9" t="n">
        <v>4</v>
      </c>
      <c r="E5" s="9" t="n">
        <v>0</v>
      </c>
      <c r="F5" s="9" t="n">
        <v>0</v>
      </c>
      <c r="G5" s="10" t="n">
        <f aca="false">SUM(B5:F5)</f>
        <v>16.5</v>
      </c>
    </row>
    <row r="6" customFormat="false" ht="15" hidden="false" customHeight="false" outlineLevel="0" collapsed="false">
      <c r="A6" s="4" t="s">
        <v>35</v>
      </c>
      <c r="B6" s="9" t="n">
        <v>4</v>
      </c>
      <c r="C6" s="9" t="n">
        <v>4</v>
      </c>
      <c r="D6" s="9" t="n">
        <v>3.5</v>
      </c>
      <c r="E6" s="9" t="n">
        <v>0</v>
      </c>
      <c r="F6" s="9" t="n">
        <v>0</v>
      </c>
      <c r="G6" s="10" t="n">
        <f aca="false">SUM(B6:F6)</f>
        <v>11.5</v>
      </c>
    </row>
    <row r="7" customFormat="false" ht="15" hidden="false" customHeight="false" outlineLevel="0" collapsed="false">
      <c r="A7" s="4" t="s">
        <v>36</v>
      </c>
      <c r="B7" s="9" t="n">
        <v>2</v>
      </c>
      <c r="C7" s="9" t="n">
        <v>3.5</v>
      </c>
      <c r="D7" s="9" t="n">
        <v>2</v>
      </c>
      <c r="E7" s="9" t="n">
        <v>0</v>
      </c>
      <c r="F7" s="9" t="n">
        <v>0</v>
      </c>
      <c r="G7" s="10" t="n">
        <f aca="false">SUM(B7:F7)</f>
        <v>7.5</v>
      </c>
    </row>
    <row r="8" customFormat="false" ht="15" hidden="false" customHeight="false" outlineLevel="0" collapsed="false">
      <c r="A8" s="7" t="s">
        <v>37</v>
      </c>
      <c r="B8" s="11" t="n">
        <f aca="false">SUM(B4:B7)</f>
        <v>30</v>
      </c>
      <c r="C8" s="11" t="n">
        <f aca="false">SUM(C4:C7)</f>
        <v>26</v>
      </c>
      <c r="D8" s="11" t="n">
        <f aca="false">SUM(D4:D7)</f>
        <v>15.5</v>
      </c>
      <c r="E8" s="11" t="n">
        <f aca="false">SUM(E4:E7)</f>
        <v>0</v>
      </c>
      <c r="F8" s="11" t="n">
        <f aca="false">SUM(F4:F7)</f>
        <v>0</v>
      </c>
      <c r="G8" s="11" t="n">
        <f aca="false">SUM(B8:F8)</f>
        <v>71.5</v>
      </c>
    </row>
    <row r="9" customFormat="false" ht="15" hidden="false" customHeight="false" outlineLevel="0" collapsed="false">
      <c r="A9" s="4" t="s">
        <v>38</v>
      </c>
      <c r="B9" s="9" t="n">
        <v>4</v>
      </c>
      <c r="C9" s="9" t="n">
        <v>9</v>
      </c>
      <c r="D9" s="9" t="n">
        <v>12</v>
      </c>
      <c r="E9" s="9" t="n">
        <v>12</v>
      </c>
      <c r="F9" s="9" t="n">
        <v>12</v>
      </c>
      <c r="G9" s="10" t="n">
        <f aca="false">SUM(B9:F9)</f>
        <v>49</v>
      </c>
    </row>
    <row r="11" customFormat="false" ht="15" hidden="false" customHeight="false" outlineLevel="0" collapsed="false">
      <c r="A11" s="4" t="s">
        <v>39</v>
      </c>
      <c r="B11" s="12" t="n">
        <v>0.1</v>
      </c>
      <c r="C11" s="12" t="n">
        <v>0.5</v>
      </c>
      <c r="D11" s="12" t="n">
        <v>0.9</v>
      </c>
      <c r="E11" s="12" t="n">
        <v>1</v>
      </c>
      <c r="F11" s="12" t="n">
        <v>1</v>
      </c>
      <c r="G11" s="13"/>
    </row>
    <row r="12" customFormat="false" ht="15" hidden="false" customHeight="false" outlineLevel="0" collapsed="false">
      <c r="A12" s="4" t="s">
        <v>40</v>
      </c>
      <c r="B12" s="10" t="n">
        <f aca="false">Assumptions!$B$14*B11</f>
        <v>8.008</v>
      </c>
      <c r="C12" s="10" t="n">
        <f aca="false">Assumptions!$B$14*C11</f>
        <v>40.04</v>
      </c>
      <c r="D12" s="10" t="n">
        <f aca="false">Assumptions!$B$14*D11</f>
        <v>72.072</v>
      </c>
      <c r="E12" s="10" t="n">
        <f aca="false">Assumptions!$B$14*E11</f>
        <v>80.08</v>
      </c>
      <c r="F12" s="10" t="n">
        <f aca="false">Assumptions!$B$14*F11</f>
        <v>80.08</v>
      </c>
      <c r="G12" s="10" t="n">
        <f aca="false">SUM(B12:F12)</f>
        <v>280.28</v>
      </c>
    </row>
    <row r="14" customFormat="false" ht="15" hidden="false" customHeight="false" outlineLevel="0" collapsed="false">
      <c r="A14" s="7" t="s">
        <v>41</v>
      </c>
      <c r="B14" s="11" t="n">
        <f aca="false">B12-B8-B9</f>
        <v>-25.992</v>
      </c>
      <c r="C14" s="11" t="n">
        <f aca="false">C12-C8-C9</f>
        <v>5.04000000000001</v>
      </c>
      <c r="D14" s="11" t="n">
        <f aca="false">D12-D8-D9</f>
        <v>44.572</v>
      </c>
      <c r="E14" s="11" t="n">
        <f aca="false">E12-E8-E9</f>
        <v>68.08</v>
      </c>
      <c r="F14" s="11" t="n">
        <f aca="false">F12-F8-F9</f>
        <v>68.08</v>
      </c>
      <c r="G14" s="11" t="n">
        <f aca="false">SUM(B14:F14)</f>
        <v>159.78</v>
      </c>
    </row>
    <row r="15" customFormat="false" ht="15" hidden="false" customHeight="false" outlineLevel="0" collapsed="false">
      <c r="A15" s="4" t="s">
        <v>42</v>
      </c>
      <c r="B15" s="10" t="n">
        <f aca="false">B14</f>
        <v>-25.992</v>
      </c>
      <c r="C15" s="10" t="n">
        <f aca="false">C14+B15</f>
        <v>-20.952</v>
      </c>
      <c r="D15" s="10" t="n">
        <f aca="false">D14+C15</f>
        <v>23.62</v>
      </c>
      <c r="E15" s="10" t="n">
        <f aca="false">E14+D15</f>
        <v>91.7000000000001</v>
      </c>
      <c r="F15" s="10" t="n">
        <f aca="false">F14+E15</f>
        <v>159.78</v>
      </c>
    </row>
    <row r="16" customFormat="false" ht="15" hidden="false" customHeight="false" outlineLevel="0" collapsed="false">
      <c r="A16" s="2" t="s">
        <v>43</v>
      </c>
      <c r="B16" s="14" t="n">
        <f aca="false">IF(B15&gt;=0,0,0)</f>
        <v>0</v>
      </c>
      <c r="C16" s="14" t="n">
        <f aca="false">IF(AND(B15&lt;0,C15&gt;=0),1+(-B15)/C14,0)</f>
        <v>0</v>
      </c>
      <c r="D16" s="14" t="n">
        <f aca="false">IF(AND(C15&lt;0,D15&gt;=0),2+(-C15)/D14,0)</f>
        <v>2.47007089652697</v>
      </c>
      <c r="E16" s="14" t="n">
        <f aca="false">IF(AND(D15&lt;0,E15&gt;=0),3+(-D15)/E14,0)</f>
        <v>0</v>
      </c>
      <c r="F16" s="14" t="n">
        <f aca="false">IF(AND(E15&lt;0,F15&gt;=0),4+(-E15)/F14,0)</f>
        <v>0</v>
      </c>
    </row>
    <row r="18" customFormat="false" ht="15" hidden="false" customHeight="false" outlineLevel="0" collapsed="false">
      <c r="A18" s="7" t="s">
        <v>44</v>
      </c>
      <c r="B18" s="15" t="n">
        <f aca="false">SUM(B16:F16)</f>
        <v>2.47007089652697</v>
      </c>
    </row>
    <row r="19" customFormat="false" ht="15" hidden="false" customHeight="false" outlineLevel="0" collapsed="false">
      <c r="A19" s="7" t="s">
        <v>45</v>
      </c>
      <c r="B19" s="16" t="n">
        <f aca="false">B18*12</f>
        <v>29.6408507583236</v>
      </c>
    </row>
    <row r="20" customFormat="false" ht="15" hidden="false" customHeight="false" outlineLevel="0" collapsed="false">
      <c r="A20" s="7" t="s">
        <v>46</v>
      </c>
      <c r="B20" s="17" t="n">
        <f aca="false">NPV(Assumptions!B10,B14:F14)</f>
        <v>107.290874828222</v>
      </c>
    </row>
    <row r="21" customFormat="false" ht="15" hidden="false" customHeight="false" outlineLevel="0" collapsed="false">
      <c r="A21" s="7" t="s">
        <v>47</v>
      </c>
      <c r="B21" s="18" t="n">
        <f aca="false">G8</f>
        <v>71.5</v>
      </c>
    </row>
    <row r="22" customFormat="false" ht="15" hidden="false" customHeight="false" outlineLevel="0" collapsed="false">
      <c r="A22" s="7" t="s">
        <v>48</v>
      </c>
      <c r="B22" s="15" t="n">
        <f aca="false">(Assumptions!B14-F9)/Assumptions!B11*100</f>
        <v>0.735205183585313</v>
      </c>
    </row>
    <row r="25" customFormat="false" ht="15" hidden="false" customHeight="false" outlineLevel="0" collapsed="false">
      <c r="A25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2026-09-23T08:09:13Z</dcterms:created>
  <dc:creator>openpyxl</dc:creator>
  <dc:description/>
  <dc:language>en-US</dc:language>
  <cp:lastModifiedBy/>
  <dcterms:modified xsi:type="dcterms:W3CDTF">2026-09-23T08:09:13Z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